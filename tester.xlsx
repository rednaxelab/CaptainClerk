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t\Desktop\"/>
    </mc:Choice>
  </mc:AlternateContent>
  <xr:revisionPtr revIDLastSave="0" documentId="13_ncr:1_{4D2542A2-1B5E-45FA-9A6A-1BE796B6A600}" xr6:coauthVersionLast="47" xr6:coauthVersionMax="47" xr10:uidLastSave="{00000000-0000-0000-0000-000000000000}"/>
  <bookViews>
    <workbookView xWindow="-110" yWindow="-110" windowWidth="38620" windowHeight="21100" xr2:uid="{34E07DCD-5977-43A2-9904-FD5B8B205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F21" i="1"/>
  <c r="E21" i="1"/>
</calcChain>
</file>

<file path=xl/sharedStrings.xml><?xml version="1.0" encoding="utf-8"?>
<sst xmlns="http://schemas.openxmlformats.org/spreadsheetml/2006/main" count="131" uniqueCount="82">
  <si>
    <t>Quantity</t>
  </si>
  <si>
    <t>Description of Property</t>
  </si>
  <si>
    <t>Date Acquired</t>
  </si>
  <si>
    <t>Date Sold</t>
  </si>
  <si>
    <t>Sales Price</t>
  </si>
  <si>
    <t>Cost or Basis</t>
  </si>
  <si>
    <t>Wash Sale (-1 to disallow all)</t>
  </si>
  <si>
    <t>Basis Rptd: Blank=1099-B to IRS, 1=1099-B not to IRS, 2=not on 1099-B/DA, 3=1099-DA basis to IRS, 4=1099-DA not to IRS, 5=Digital Asset not on 1099-B/DA</t>
  </si>
  <si>
    <t>Summary from attached statement</t>
  </si>
  <si>
    <t>Expense of Sale</t>
  </si>
  <si>
    <t>1=taxpayer, 2=spouse</t>
  </si>
  <si>
    <t>Interactive Brokers #9393 ST Covered</t>
  </si>
  <si>
    <t>-1/1/24</t>
  </si>
  <si>
    <t>Interactive Brokers #9393 LT Covered</t>
  </si>
  <si>
    <t>-1/1/20</t>
  </si>
  <si>
    <t>15,000</t>
  </si>
  <si>
    <t>BRASKEM SA-CLASS A- ADR</t>
  </si>
  <si>
    <t>01/17/2024</t>
  </si>
  <si>
    <t>02/14/2024</t>
  </si>
  <si>
    <t>5,000</t>
  </si>
  <si>
    <t>01/18/2024</t>
  </si>
  <si>
    <t>05/10/2024</t>
  </si>
  <si>
    <t>10,000</t>
  </si>
  <si>
    <t>VARIOUS</t>
  </si>
  <si>
    <t>05/09/2024</t>
  </si>
  <si>
    <t>98,940</t>
  </si>
  <si>
    <t>ORGANIGRAM HOLDINGS INC</t>
  </si>
  <si>
    <t>04/02/2024</t>
  </si>
  <si>
    <t>04/25/2024</t>
  </si>
  <si>
    <t>49,760</t>
  </si>
  <si>
    <t>04/04/2024</t>
  </si>
  <si>
    <t>1,300</t>
  </si>
  <si>
    <t>51</t>
  </si>
  <si>
    <t>OXY 16FEB24 60 C</t>
  </si>
  <si>
    <t>01/19/2024</t>
  </si>
  <si>
    <t>02/16/2024</t>
  </si>
  <si>
    <t>50</t>
  </si>
  <si>
    <t>QQQ 06SEP24 450 P</t>
  </si>
  <si>
    <t>08/23/2024</t>
  </si>
  <si>
    <t>09/03/2024</t>
  </si>
  <si>
    <t>40</t>
  </si>
  <si>
    <t>09/05/2024</t>
  </si>
  <si>
    <t>SIBANYE-STILLWATER LTD-ADR</t>
  </si>
  <si>
    <t>02/23/2024</t>
  </si>
  <si>
    <t>SOC 15NOV24 25 C</t>
  </si>
  <si>
    <t>10/08/2024</t>
  </si>
  <si>
    <t>11/04/2024</t>
  </si>
  <si>
    <t>10</t>
  </si>
  <si>
    <t>11/05/2024</t>
  </si>
  <si>
    <t>11/06/2024</t>
  </si>
  <si>
    <t>98,261</t>
  </si>
  <si>
    <t>URANIUM ROYALTY CORP</t>
  </si>
  <si>
    <t>12/02/2024</t>
  </si>
  <si>
    <t>12/20/2024</t>
  </si>
  <si>
    <t>40,000</t>
  </si>
  <si>
    <t>PROSHARES ULTRA BLOOMBERG</t>
  </si>
  <si>
    <t>01/02/2024</t>
  </si>
  <si>
    <t>01/10/2024</t>
  </si>
  <si>
    <t>Wedbush Securities #0033 ST Covered</t>
  </si>
  <si>
    <t>Wedbush Securities #0033 LT Covered</t>
  </si>
  <si>
    <t>50,000.000</t>
  </si>
  <si>
    <t>PROSHARES TR II ULTA BLMBG 2017 ETF</t>
  </si>
  <si>
    <t>01/04/24</t>
  </si>
  <si>
    <t>15,000.000</t>
  </si>
  <si>
    <t>01/08/24</t>
  </si>
  <si>
    <t>1,500.000</t>
  </si>
  <si>
    <t>DOORDASH INC CL A COMMON STOCK</t>
  </si>
  <si>
    <t>01/10/24</t>
  </si>
  <si>
    <t>2,000.000</t>
  </si>
  <si>
    <t>VALARIS LIMITED COMMON SHARES COMMON STOCK</t>
  </si>
  <si>
    <t>08/08/23</t>
  </si>
  <si>
    <t>TRANSOCEAN LTD REG SHS COMMON STOCK</t>
  </si>
  <si>
    <t>10,000.000</t>
  </si>
  <si>
    <t>MARATHON DIGITAL HOLDINGS INC COM COMMON STOCK</t>
  </si>
  <si>
    <t>01/11/24</t>
  </si>
  <si>
    <t>65,000.000</t>
  </si>
  <si>
    <t>01/12/24</t>
  </si>
  <si>
    <t>BORR DRILLING LTD SHS COMMON STOCK</t>
  </si>
  <si>
    <t>5,000.000</t>
  </si>
  <si>
    <t>48,669.000</t>
  </si>
  <si>
    <t>ZIM INTEGRATED SHIPPING SERVIC SHS COMMON STOCK</t>
  </si>
  <si>
    <t>01/16/24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</si>
</sst>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7"/>
      <color rgb="FF393A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4D7DC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168" fontId="0" fillId="0" borderId="2" xfId="0" applyNumberFormat="1" applyBorder="1"/>
    <xf numFmtId="168" fontId="0" fillId="0" borderId="2" xfId="0" applyNumberFormat="1" applyBorder="1" applyAlignment="1">
      <alignment horizontal="center"/>
    </xf>
    <xf numFmtId="168" fontId="0" fillId="2" borderId="0" xfId="0" applyNumberFormat="1" applyFill="1"/>
    <xf numFmtId="168" fontId="0" fillId="2" borderId="0" xfId="0" applyNumberFormat="1" applyFill="1" applyAlignment="1">
      <alignment horizontal="center"/>
    </xf>
    <xf numFmtId="168" fontId="0" fillId="3" borderId="0" xfId="0" applyNumberFormat="1" applyFill="1"/>
    <xf numFmtId="168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C326-D12F-4601-B2C3-79CB618D35C3}">
  <dimension ref="A1:K32"/>
  <sheetViews>
    <sheetView showGridLines="0" tabSelected="1" workbookViewId="0">
      <selection activeCell="C11" sqref="C11"/>
    </sheetView>
  </sheetViews>
  <sheetFormatPr defaultRowHeight="14.5" x14ac:dyDescent="0.35"/>
  <cols>
    <col min="1" max="1" width="11.1796875" bestFit="1" customWidth="1"/>
    <col min="2" max="2" width="50.7265625" bestFit="1" customWidth="1"/>
    <col min="3" max="4" width="11.36328125" bestFit="1" customWidth="1"/>
    <col min="5" max="6" width="12.1796875" bestFit="1" customWidth="1"/>
    <col min="7" max="7" width="8.08984375" bestFit="1" customWidth="1"/>
    <col min="9" max="9" width="8.54296875" bestFit="1" customWidth="1"/>
    <col min="10" max="10" width="7" bestFit="1" customWidth="1"/>
    <col min="11" max="11" width="7.36328125" bestFit="1" customWidth="1"/>
  </cols>
  <sheetData>
    <row r="1" spans="1:11" ht="117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/>
      <c r="B2" s="2" t="s">
        <v>11</v>
      </c>
      <c r="C2" s="3" t="s">
        <v>12</v>
      </c>
      <c r="D2" s="3" t="s">
        <v>12</v>
      </c>
      <c r="E2" s="2">
        <v>3442826</v>
      </c>
      <c r="F2" s="2">
        <v>4085810</v>
      </c>
    </row>
    <row r="3" spans="1:11" x14ac:dyDescent="0.35">
      <c r="A3" s="2"/>
      <c r="B3" s="2" t="s">
        <v>13</v>
      </c>
      <c r="C3" s="3" t="s">
        <v>14</v>
      </c>
      <c r="D3" s="3" t="s">
        <v>12</v>
      </c>
      <c r="E3" s="2">
        <v>1797032</v>
      </c>
      <c r="F3" s="2">
        <v>1143801</v>
      </c>
    </row>
    <row r="4" spans="1:11" x14ac:dyDescent="0.35">
      <c r="A4" s="2" t="s">
        <v>15</v>
      </c>
      <c r="B4" s="2" t="s">
        <v>16</v>
      </c>
      <c r="C4" s="3" t="s">
        <v>17</v>
      </c>
      <c r="D4" s="3" t="s">
        <v>18</v>
      </c>
      <c r="E4" s="2">
        <v>103526</v>
      </c>
      <c r="F4" s="2">
        <v>111810</v>
      </c>
    </row>
    <row r="5" spans="1:11" x14ac:dyDescent="0.35">
      <c r="A5" s="2" t="s">
        <v>19</v>
      </c>
      <c r="B5" s="2" t="s">
        <v>16</v>
      </c>
      <c r="C5" s="3" t="s">
        <v>20</v>
      </c>
      <c r="D5" s="3" t="s">
        <v>21</v>
      </c>
      <c r="E5" s="2">
        <v>36929</v>
      </c>
      <c r="F5" s="2">
        <v>39786</v>
      </c>
    </row>
    <row r="6" spans="1:11" x14ac:dyDescent="0.35">
      <c r="A6" s="2" t="s">
        <v>22</v>
      </c>
      <c r="B6" s="2" t="s">
        <v>16</v>
      </c>
      <c r="C6" s="3" t="s">
        <v>23</v>
      </c>
      <c r="D6" s="3" t="s">
        <v>24</v>
      </c>
      <c r="E6" s="2">
        <v>73948</v>
      </c>
      <c r="F6" s="2">
        <v>75638</v>
      </c>
    </row>
    <row r="7" spans="1:11" x14ac:dyDescent="0.35">
      <c r="A7" s="2" t="s">
        <v>25</v>
      </c>
      <c r="B7" s="2" t="s">
        <v>26</v>
      </c>
      <c r="C7" s="3" t="s">
        <v>27</v>
      </c>
      <c r="D7" s="3" t="s">
        <v>28</v>
      </c>
      <c r="E7" s="2">
        <v>183328</v>
      </c>
      <c r="F7" s="2">
        <v>226638</v>
      </c>
    </row>
    <row r="8" spans="1:11" x14ac:dyDescent="0.35">
      <c r="A8" s="2" t="s">
        <v>29</v>
      </c>
      <c r="B8" s="2" t="s">
        <v>26</v>
      </c>
      <c r="C8" s="3" t="s">
        <v>30</v>
      </c>
      <c r="D8" s="3" t="s">
        <v>28</v>
      </c>
      <c r="E8" s="2">
        <v>91929</v>
      </c>
      <c r="F8" s="2">
        <v>142469</v>
      </c>
    </row>
    <row r="9" spans="1:11" x14ac:dyDescent="0.35">
      <c r="A9" s="2" t="s">
        <v>31</v>
      </c>
      <c r="B9" s="2" t="s">
        <v>26</v>
      </c>
      <c r="C9" s="3" t="s">
        <v>23</v>
      </c>
      <c r="D9" s="3" t="s">
        <v>28</v>
      </c>
      <c r="E9" s="2">
        <v>2411</v>
      </c>
      <c r="F9" s="2">
        <v>3407</v>
      </c>
    </row>
    <row r="10" spans="1:11" x14ac:dyDescent="0.35">
      <c r="A10" s="2" t="s">
        <v>32</v>
      </c>
      <c r="B10" s="2" t="s">
        <v>33</v>
      </c>
      <c r="C10" s="3" t="s">
        <v>34</v>
      </c>
      <c r="D10" s="3" t="s">
        <v>35</v>
      </c>
      <c r="E10" s="2">
        <v>2259</v>
      </c>
      <c r="F10" s="2">
        <v>2832</v>
      </c>
    </row>
    <row r="11" spans="1:11" x14ac:dyDescent="0.35">
      <c r="A11" s="2" t="s">
        <v>36</v>
      </c>
      <c r="B11" s="2" t="s">
        <v>37</v>
      </c>
      <c r="C11" s="3" t="s">
        <v>38</v>
      </c>
      <c r="D11" s="3" t="s">
        <v>39</v>
      </c>
      <c r="E11" s="2">
        <v>5224</v>
      </c>
      <c r="F11" s="2">
        <v>4908</v>
      </c>
    </row>
    <row r="12" spans="1:11" x14ac:dyDescent="0.35">
      <c r="A12" s="2" t="s">
        <v>40</v>
      </c>
      <c r="B12" s="2" t="s">
        <v>37</v>
      </c>
      <c r="C12" s="3" t="s">
        <v>38</v>
      </c>
      <c r="D12" s="3" t="s">
        <v>41</v>
      </c>
      <c r="E12" s="2">
        <v>3007</v>
      </c>
      <c r="F12" s="2">
        <v>3827</v>
      </c>
    </row>
    <row r="13" spans="1:11" x14ac:dyDescent="0.35">
      <c r="A13" s="2" t="s">
        <v>22</v>
      </c>
      <c r="B13" s="2" t="s">
        <v>42</v>
      </c>
      <c r="C13" s="3" t="s">
        <v>17</v>
      </c>
      <c r="D13" s="3" t="s">
        <v>18</v>
      </c>
      <c r="E13" s="2">
        <v>43948</v>
      </c>
      <c r="F13" s="2">
        <v>44550</v>
      </c>
    </row>
    <row r="14" spans="1:11" x14ac:dyDescent="0.35">
      <c r="A14" s="2" t="s">
        <v>22</v>
      </c>
      <c r="B14" s="2" t="s">
        <v>42</v>
      </c>
      <c r="C14" s="3" t="s">
        <v>20</v>
      </c>
      <c r="D14" s="3" t="s">
        <v>43</v>
      </c>
      <c r="E14" s="2">
        <v>41546</v>
      </c>
      <c r="F14" s="2">
        <v>46652</v>
      </c>
    </row>
    <row r="15" spans="1:11" x14ac:dyDescent="0.35">
      <c r="A15" s="2" t="s">
        <v>22</v>
      </c>
      <c r="B15" s="2" t="s">
        <v>42</v>
      </c>
      <c r="C15" s="3" t="s">
        <v>34</v>
      </c>
      <c r="D15" s="3" t="s">
        <v>43</v>
      </c>
      <c r="E15" s="2">
        <v>42698</v>
      </c>
      <c r="F15" s="2">
        <v>45050</v>
      </c>
    </row>
    <row r="16" spans="1:11" x14ac:dyDescent="0.35">
      <c r="A16" s="2" t="s">
        <v>40</v>
      </c>
      <c r="B16" s="2" t="s">
        <v>44</v>
      </c>
      <c r="C16" s="3" t="s">
        <v>45</v>
      </c>
      <c r="D16" s="3" t="s">
        <v>46</v>
      </c>
      <c r="E16" s="2">
        <v>4032</v>
      </c>
      <c r="F16" s="2">
        <v>4686</v>
      </c>
    </row>
    <row r="17" spans="1:6" x14ac:dyDescent="0.35">
      <c r="A17" s="2" t="s">
        <v>47</v>
      </c>
      <c r="B17" s="2" t="s">
        <v>44</v>
      </c>
      <c r="C17" s="3" t="s">
        <v>45</v>
      </c>
      <c r="D17" s="3" t="s">
        <v>48</v>
      </c>
      <c r="E17" s="2">
        <v>1203</v>
      </c>
      <c r="F17" s="2">
        <v>1402</v>
      </c>
    </row>
    <row r="18" spans="1:6" x14ac:dyDescent="0.35">
      <c r="A18" s="2" t="s">
        <v>40</v>
      </c>
      <c r="B18" s="2" t="s">
        <v>44</v>
      </c>
      <c r="C18" s="3" t="s">
        <v>45</v>
      </c>
      <c r="D18" s="3" t="s">
        <v>49</v>
      </c>
      <c r="E18" s="2">
        <v>5312</v>
      </c>
      <c r="F18" s="2">
        <v>4892</v>
      </c>
    </row>
    <row r="19" spans="1:6" x14ac:dyDescent="0.35">
      <c r="A19" s="2" t="s">
        <v>50</v>
      </c>
      <c r="B19" s="2" t="s">
        <v>51</v>
      </c>
      <c r="C19" s="3" t="s">
        <v>52</v>
      </c>
      <c r="D19" s="3" t="s">
        <v>53</v>
      </c>
      <c r="E19" s="2">
        <v>205993</v>
      </c>
      <c r="F19" s="2">
        <v>324815</v>
      </c>
    </row>
    <row r="20" spans="1:6" x14ac:dyDescent="0.35">
      <c r="A20" s="4" t="s">
        <v>54</v>
      </c>
      <c r="B20" s="4" t="s">
        <v>55</v>
      </c>
      <c r="C20" s="5" t="s">
        <v>56</v>
      </c>
      <c r="D20" s="5" t="s">
        <v>57</v>
      </c>
      <c r="E20" s="4">
        <v>1035084</v>
      </c>
      <c r="F20" s="4">
        <v>1035084</v>
      </c>
    </row>
    <row r="21" spans="1:6" x14ac:dyDescent="0.35">
      <c r="A21" s="6"/>
      <c r="B21" s="6" t="s">
        <v>58</v>
      </c>
      <c r="C21" s="7" t="s">
        <v>12</v>
      </c>
      <c r="D21" s="7" t="s">
        <v>12</v>
      </c>
      <c r="E21" s="6">
        <f>685996592-SUM(E23:E400)</f>
        <v>680650304</v>
      </c>
      <c r="F21" s="6">
        <f>703429216-SUM(F23:F400)</f>
        <v>697329647</v>
      </c>
    </row>
    <row r="22" spans="1:6" x14ac:dyDescent="0.35">
      <c r="A22" s="8"/>
      <c r="B22" s="8" t="s">
        <v>59</v>
      </c>
      <c r="C22" s="9" t="s">
        <v>14</v>
      </c>
      <c r="D22" s="9" t="s">
        <v>12</v>
      </c>
      <c r="E22" s="8">
        <f>11032051-SUM(E401:E402)</f>
        <v>11032051</v>
      </c>
      <c r="F22" s="8">
        <f>8222110-SUM(F401:F402)</f>
        <v>8222110</v>
      </c>
    </row>
    <row r="23" spans="1:6" x14ac:dyDescent="0.35">
      <c r="A23" s="6" t="s">
        <v>60</v>
      </c>
      <c r="B23" s="6" t="s">
        <v>61</v>
      </c>
      <c r="C23" s="7" t="s">
        <v>12</v>
      </c>
      <c r="D23" s="7" t="s">
        <v>62</v>
      </c>
      <c r="E23" s="6">
        <v>1300568</v>
      </c>
      <c r="F23" s="6">
        <v>1529026</v>
      </c>
    </row>
    <row r="24" spans="1:6" x14ac:dyDescent="0.35">
      <c r="A24" s="6" t="s">
        <v>63</v>
      </c>
      <c r="B24" s="6" t="s">
        <v>61</v>
      </c>
      <c r="C24" s="7" t="s">
        <v>12</v>
      </c>
      <c r="D24" s="7" t="s">
        <v>64</v>
      </c>
      <c r="E24" s="6">
        <v>384746</v>
      </c>
      <c r="F24" s="6">
        <v>453343</v>
      </c>
    </row>
    <row r="25" spans="1:6" x14ac:dyDescent="0.35">
      <c r="A25" s="6" t="s">
        <v>65</v>
      </c>
      <c r="B25" s="6" t="s">
        <v>66</v>
      </c>
      <c r="C25" s="7" t="s">
        <v>67</v>
      </c>
      <c r="D25" s="7" t="s">
        <v>67</v>
      </c>
      <c r="E25" s="6">
        <v>158073</v>
      </c>
      <c r="F25" s="6">
        <v>158500</v>
      </c>
    </row>
    <row r="26" spans="1:6" x14ac:dyDescent="0.35">
      <c r="A26" s="6" t="s">
        <v>68</v>
      </c>
      <c r="B26" s="6" t="s">
        <v>69</v>
      </c>
      <c r="C26" s="7" t="s">
        <v>70</v>
      </c>
      <c r="D26" s="7" t="s">
        <v>67</v>
      </c>
      <c r="E26" s="6">
        <v>127259</v>
      </c>
      <c r="F26" s="6">
        <v>140004</v>
      </c>
    </row>
    <row r="27" spans="1:6" x14ac:dyDescent="0.35">
      <c r="A27" s="6" t="s">
        <v>63</v>
      </c>
      <c r="B27" s="6" t="s">
        <v>71</v>
      </c>
      <c r="C27" s="7" t="s">
        <v>12</v>
      </c>
      <c r="D27" s="7" t="s">
        <v>67</v>
      </c>
      <c r="E27" s="6">
        <v>85151</v>
      </c>
      <c r="F27" s="6">
        <v>88725</v>
      </c>
    </row>
    <row r="28" spans="1:6" x14ac:dyDescent="0.35">
      <c r="A28" s="6" t="s">
        <v>72</v>
      </c>
      <c r="B28" s="6" t="s">
        <v>73</v>
      </c>
      <c r="C28" s="7" t="s">
        <v>74</v>
      </c>
      <c r="D28" s="7" t="s">
        <v>74</v>
      </c>
      <c r="E28" s="6">
        <v>243884</v>
      </c>
      <c r="F28" s="6">
        <v>252618</v>
      </c>
    </row>
    <row r="29" spans="1:6" x14ac:dyDescent="0.35">
      <c r="A29" s="6" t="s">
        <v>75</v>
      </c>
      <c r="B29" s="6" t="s">
        <v>61</v>
      </c>
      <c r="C29" s="7" t="s">
        <v>12</v>
      </c>
      <c r="D29" s="7" t="s">
        <v>76</v>
      </c>
      <c r="E29" s="6">
        <v>1740678</v>
      </c>
      <c r="F29" s="6">
        <v>2078655</v>
      </c>
    </row>
    <row r="30" spans="1:6" x14ac:dyDescent="0.35">
      <c r="A30" s="6" t="s">
        <v>60</v>
      </c>
      <c r="B30" s="6" t="s">
        <v>77</v>
      </c>
      <c r="C30" s="7" t="s">
        <v>76</v>
      </c>
      <c r="D30" s="7" t="s">
        <v>76</v>
      </c>
      <c r="E30" s="6">
        <v>327520</v>
      </c>
      <c r="F30" s="6">
        <v>337356</v>
      </c>
    </row>
    <row r="31" spans="1:6" x14ac:dyDescent="0.35">
      <c r="A31" s="6" t="s">
        <v>78</v>
      </c>
      <c r="B31" s="6" t="s">
        <v>69</v>
      </c>
      <c r="C31" s="7" t="s">
        <v>70</v>
      </c>
      <c r="D31" s="7" t="s">
        <v>76</v>
      </c>
      <c r="E31" s="6">
        <v>330015</v>
      </c>
      <c r="F31" s="6">
        <v>350009</v>
      </c>
    </row>
    <row r="32" spans="1:6" x14ac:dyDescent="0.35">
      <c r="A32" s="6" t="s">
        <v>79</v>
      </c>
      <c r="B32" s="6" t="s">
        <v>80</v>
      </c>
      <c r="C32" s="7" t="s">
        <v>76</v>
      </c>
      <c r="D32" s="7" t="s">
        <v>81</v>
      </c>
      <c r="E32" s="6">
        <v>648394</v>
      </c>
      <c r="F32" s="6">
        <v>711333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Alexander</dc:creator>
  <cp:lastModifiedBy>Brent Alexander</cp:lastModifiedBy>
  <dcterms:created xsi:type="dcterms:W3CDTF">2026-02-17T17:41:07Z</dcterms:created>
  <dcterms:modified xsi:type="dcterms:W3CDTF">2026-02-17T17:42:00Z</dcterms:modified>
</cp:coreProperties>
</file>